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ella\Desktop\Durham\YEAR 3\Advanced Labs\Programming\snpy_txt_clean\"/>
    </mc:Choice>
  </mc:AlternateContent>
  <xr:revisionPtr revIDLastSave="0" documentId="13_ncr:1_{3112DB01-0114-4852-8895-73D0EF29CC92}" xr6:coauthVersionLast="47" xr6:coauthVersionMax="47" xr10:uidLastSave="{00000000-0000-0000-0000-000000000000}"/>
  <bookViews>
    <workbookView xWindow="9506" yWindow="0" windowWidth="9917" windowHeight="12257" xr2:uid="{00000000-000D-0000-FFFF-FFFF00000000}"/>
  </bookViews>
  <sheets>
    <sheet name="SNooPy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19" i="1"/>
  <c r="J18" i="1"/>
  <c r="J17" i="1"/>
  <c r="J16" i="1"/>
  <c r="J15" i="1"/>
  <c r="C23" i="1"/>
  <c r="B20" i="1"/>
  <c r="C20" i="1"/>
  <c r="D20" i="1"/>
  <c r="E20" i="1"/>
  <c r="F20" i="1"/>
  <c r="G20" i="1"/>
  <c r="H20" i="1"/>
  <c r="I20" i="1"/>
  <c r="B19" i="1"/>
  <c r="C19" i="1"/>
  <c r="D19" i="1"/>
  <c r="E19" i="1"/>
  <c r="F19" i="1"/>
  <c r="G19" i="1"/>
  <c r="H19" i="1"/>
  <c r="I19" i="1"/>
  <c r="B18" i="1"/>
  <c r="C18" i="1"/>
  <c r="D18" i="1"/>
  <c r="E18" i="1"/>
  <c r="F18" i="1"/>
  <c r="G18" i="1"/>
  <c r="H18" i="1"/>
  <c r="I18" i="1"/>
  <c r="B17" i="1"/>
  <c r="C17" i="1"/>
  <c r="D17" i="1"/>
  <c r="E17" i="1"/>
  <c r="F17" i="1"/>
  <c r="G17" i="1"/>
  <c r="H17" i="1"/>
  <c r="I17" i="1"/>
  <c r="B16" i="1"/>
  <c r="C16" i="1"/>
  <c r="D16" i="1"/>
  <c r="E16" i="1"/>
  <c r="F16" i="1"/>
  <c r="G16" i="1"/>
  <c r="H16" i="1"/>
  <c r="I16" i="1"/>
  <c r="B15" i="1"/>
  <c r="C15" i="1"/>
  <c r="D15" i="1"/>
  <c r="E15" i="1"/>
  <c r="F15" i="1"/>
  <c r="G15" i="1"/>
  <c r="H15" i="1"/>
  <c r="I15" i="1"/>
  <c r="B22" i="1" l="1"/>
  <c r="B23" i="1"/>
  <c r="C22" i="1"/>
  <c r="D22" i="1"/>
  <c r="D23" i="1"/>
</calcChain>
</file>

<file path=xl/sharedStrings.xml><?xml version="1.0" encoding="utf-8"?>
<sst xmlns="http://schemas.openxmlformats.org/spreadsheetml/2006/main" count="31" uniqueCount="31">
  <si>
    <t>Parameter</t>
  </si>
  <si>
    <t>SN2019np</t>
  </si>
  <si>
    <t>SN2020ue</t>
  </si>
  <si>
    <t>SN2025ahsa</t>
  </si>
  <si>
    <t>SN2026acd</t>
  </si>
  <si>
    <t>SN2026atb</t>
  </si>
  <si>
    <t>SN2026gm</t>
  </si>
  <si>
    <t>SN2026kc_subbed</t>
  </si>
  <si>
    <t>SN2025acsn_subbed</t>
  </si>
  <si>
    <t>z_CMB</t>
  </si>
  <si>
    <t>DM (mag)</t>
  </si>
  <si>
    <t>DM error (mag)</t>
  </si>
  <si>
    <t>st</t>
  </si>
  <si>
    <t>st error</t>
  </si>
  <si>
    <t>T_max (MJD)</t>
  </si>
  <si>
    <t>T_max error (days)</t>
  </si>
  <si>
    <t>i_max (mag)</t>
  </si>
  <si>
    <t>i_max_error (mag)</t>
  </si>
  <si>
    <t>r_max (mag)</t>
  </si>
  <si>
    <t>r_max_error (mag)</t>
  </si>
  <si>
    <t>v_max (mag)</t>
  </si>
  <si>
    <t>v_max_error (mag)</t>
  </si>
  <si>
    <t>M_abs_i (mag)</t>
  </si>
  <si>
    <t>M_abs_i_error (mag)</t>
  </si>
  <si>
    <t>M_abs_r (mag)</t>
  </si>
  <si>
    <t>M_abs_r_error (mag)</t>
  </si>
  <si>
    <t>M_abs_v (mag</t>
  </si>
  <si>
    <t>M_abs_v_error (mag</t>
  </si>
  <si>
    <t>means_Ms</t>
  </si>
  <si>
    <t>std_Ms</t>
  </si>
  <si>
    <t>SN2025ahkt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</si>
</sst>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164" fontId="0" fillId="0" borderId="0" xfId="0" applyNumberFormat="1"/>
    <xf numFmtId="0" fontId="2" fillId="3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zoomScale="63" workbookViewId="0">
      <pane xSplit="1" ySplit="1" topLeftCell="F2" activePane="bottomRight" state="frozen"/>
      <selection pane="topRight"/>
      <selection pane="bottomLeft"/>
      <selection pane="bottomRight" activeCell="J1" sqref="J1"/>
    </sheetView>
  </sheetViews>
  <sheetFormatPr defaultRowHeight="14.6" x14ac:dyDescent="0.4"/>
  <cols>
    <col min="1" max="1" width="22" customWidth="1"/>
    <col min="2" max="9" width="16" customWidth="1"/>
    <col min="10" max="10" width="10.3046875" bestFit="1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30</v>
      </c>
    </row>
    <row r="2" spans="1:10" x14ac:dyDescent="0.4">
      <c r="A2" s="2" t="s">
        <v>9</v>
      </c>
      <c r="B2" s="3">
        <v>5.4957131629876383E-3</v>
      </c>
      <c r="C2" s="3">
        <v>4.1243534288284093E-3</v>
      </c>
      <c r="D2" s="3">
        <v>1.577412103393137E-2</v>
      </c>
      <c r="E2" s="3">
        <v>8.6996271246128545E-3</v>
      </c>
      <c r="F2" s="3">
        <v>1.86074229318118E-2</v>
      </c>
      <c r="G2" s="3">
        <v>1.820681159016178E-2</v>
      </c>
      <c r="H2" s="3">
        <v>2.3985414903784481E-2</v>
      </c>
      <c r="I2" s="3">
        <v>1.478085509744197E-2</v>
      </c>
      <c r="J2" s="3">
        <v>2.6228000000000001E-2</v>
      </c>
    </row>
    <row r="3" spans="1:10" x14ac:dyDescent="0.4">
      <c r="A3" s="2" t="s">
        <v>10</v>
      </c>
      <c r="B3" s="3">
        <v>32.415636915915513</v>
      </c>
      <c r="C3" s="3">
        <v>30.90022540173771</v>
      </c>
      <c r="D3" s="3">
        <v>33.799823060905112</v>
      </c>
      <c r="E3" s="3">
        <v>32.10151852070009</v>
      </c>
      <c r="F3" s="3">
        <v>34.425101456877726</v>
      </c>
      <c r="G3" s="3">
        <v>34.023229214273243</v>
      </c>
      <c r="H3" s="3">
        <v>34.349087764144826</v>
      </c>
      <c r="I3" s="3">
        <v>34.132305012636706</v>
      </c>
      <c r="J3" s="3">
        <v>35.153816825756898</v>
      </c>
    </row>
    <row r="4" spans="1:10" ht="20.6" customHeight="1" x14ac:dyDescent="0.4">
      <c r="A4" s="2" t="s">
        <v>11</v>
      </c>
      <c r="B4" s="3">
        <v>1.0118415963258401E-2</v>
      </c>
      <c r="C4" s="3">
        <v>3.3287340164946312E-2</v>
      </c>
      <c r="D4" s="3">
        <v>2.6488139205854661E-2</v>
      </c>
      <c r="E4" s="3">
        <v>0.1140388162904977</v>
      </c>
      <c r="F4" s="3">
        <v>8.6010331784144176E-2</v>
      </c>
      <c r="G4" s="3">
        <v>8.0236541707168471E-2</v>
      </c>
      <c r="H4" s="3">
        <v>0.1454689464834521</v>
      </c>
      <c r="I4" s="3">
        <v>2.0341439972800249E-2</v>
      </c>
      <c r="J4" s="3">
        <v>0.18631419111575501</v>
      </c>
    </row>
    <row r="5" spans="1:10" x14ac:dyDescent="0.4">
      <c r="A5" s="2" t="s">
        <v>12</v>
      </c>
      <c r="B5" s="3">
        <v>1.189170628945581</v>
      </c>
      <c r="C5" s="3">
        <v>0.79261414909385153</v>
      </c>
      <c r="D5" s="3">
        <v>1.1905274418406919</v>
      </c>
      <c r="E5" s="3">
        <v>0.62965071371089942</v>
      </c>
      <c r="F5" s="3">
        <v>1.0455515079776669</v>
      </c>
      <c r="G5" s="3">
        <v>1.0099416412640549</v>
      </c>
      <c r="H5" s="3">
        <v>0.69372306584563503</v>
      </c>
      <c r="I5" s="3">
        <v>1.4506172568995039</v>
      </c>
      <c r="J5" s="3">
        <v>0.70931719807274751</v>
      </c>
    </row>
    <row r="6" spans="1:10" x14ac:dyDescent="0.4">
      <c r="A6" s="2" t="s">
        <v>13</v>
      </c>
      <c r="B6" s="3">
        <v>1.3284725277725029E-2</v>
      </c>
      <c r="C6" s="3">
        <v>1.6419100375609449E-2</v>
      </c>
      <c r="D6" s="3">
        <v>1.8208026521791949E-2</v>
      </c>
      <c r="E6" s="3">
        <v>5.1677605151158088E-2</v>
      </c>
      <c r="F6" s="3">
        <v>8.550204286872827E-2</v>
      </c>
      <c r="G6" s="3">
        <v>8.158745882972876E-2</v>
      </c>
      <c r="H6" s="3">
        <v>5.4049511702307998E-2</v>
      </c>
      <c r="I6" s="3">
        <v>3.6121715375173717E-2</v>
      </c>
      <c r="J6" s="3">
        <v>9.5820409679425053E-2</v>
      </c>
    </row>
    <row r="7" spans="1:10" x14ac:dyDescent="0.4">
      <c r="A7" s="2" t="s">
        <v>14</v>
      </c>
      <c r="B7" s="3">
        <v>58508.970721627797</v>
      </c>
      <c r="C7" s="3">
        <v>58872.642127562947</v>
      </c>
      <c r="D7" s="3">
        <v>61034.328501749638</v>
      </c>
      <c r="E7" s="3">
        <v>61070.950294983973</v>
      </c>
      <c r="F7" s="3">
        <v>61076.810120446353</v>
      </c>
      <c r="G7" s="3">
        <v>61060.325337487717</v>
      </c>
      <c r="H7" s="3">
        <v>61068.988486386901</v>
      </c>
      <c r="I7" s="3">
        <v>60997.131072090517</v>
      </c>
      <c r="J7" s="3">
        <v>61065.592735975297</v>
      </c>
    </row>
    <row r="8" spans="1:10" x14ac:dyDescent="0.4">
      <c r="A8" s="2" t="s">
        <v>15</v>
      </c>
      <c r="B8" s="3">
        <v>0.19546195948847181</v>
      </c>
      <c r="C8" s="3">
        <v>0.22811773040809091</v>
      </c>
      <c r="D8" s="3">
        <v>0.94387026519125128</v>
      </c>
      <c r="E8" s="3">
        <v>1.293735821285811</v>
      </c>
      <c r="F8" s="3">
        <v>1.22939034010466</v>
      </c>
      <c r="G8" s="3">
        <v>1.6446353499804141</v>
      </c>
      <c r="H8" s="3">
        <v>0.53386062180608951</v>
      </c>
      <c r="I8" s="3">
        <v>1.195661830561982E-3</v>
      </c>
      <c r="J8" s="3">
        <v>2.0177236377476109</v>
      </c>
    </row>
    <row r="9" spans="1:10" x14ac:dyDescent="0.4">
      <c r="A9" s="2" t="s">
        <v>16</v>
      </c>
      <c r="B9" s="3">
        <v>13.40915679931641</v>
      </c>
      <c r="C9" s="3">
        <v>12.143495559692379</v>
      </c>
      <c r="D9" s="3">
        <v>14.78707981109619</v>
      </c>
      <c r="E9" s="3">
        <v>13.466771125793461</v>
      </c>
      <c r="F9" s="3">
        <v>15.570920944213871</v>
      </c>
      <c r="G9" s="3">
        <v>15.85067653656006</v>
      </c>
      <c r="H9" s="3">
        <v>15.66350841522217</v>
      </c>
      <c r="I9" s="3">
        <v>15.36857986450195</v>
      </c>
      <c r="J9" s="3">
        <v>15.375105857849119</v>
      </c>
    </row>
    <row r="10" spans="1:10" x14ac:dyDescent="0.4">
      <c r="A10" s="2" t="s">
        <v>17</v>
      </c>
      <c r="B10" s="3">
        <v>1.0118415579199789E-2</v>
      </c>
      <c r="C10" s="3">
        <v>3.328733891248703E-2</v>
      </c>
      <c r="D10" s="3">
        <v>2.6488138362765309E-2</v>
      </c>
      <c r="E10" s="3">
        <v>0.1140388175845146</v>
      </c>
      <c r="F10" s="3">
        <v>8.601032942533493E-2</v>
      </c>
      <c r="G10" s="3">
        <v>8.0236539244651794E-2</v>
      </c>
      <c r="H10" s="3">
        <v>0.14546895027160639</v>
      </c>
      <c r="I10" s="3">
        <v>2.0341439172625542E-2</v>
      </c>
      <c r="J10" s="3">
        <v>3.9609186351299293E-2</v>
      </c>
    </row>
    <row r="11" spans="1:10" x14ac:dyDescent="0.4">
      <c r="A11" s="2" t="s">
        <v>18</v>
      </c>
      <c r="B11" s="3">
        <v>13.247726440429689</v>
      </c>
      <c r="C11" s="3">
        <v>12.00754451751709</v>
      </c>
      <c r="D11" s="3">
        <v>14.66707611083984</v>
      </c>
      <c r="E11" s="3">
        <v>13.49988269805908</v>
      </c>
      <c r="F11" s="3">
        <v>15.336643218994141</v>
      </c>
      <c r="G11" s="3">
        <v>16.035591125488281</v>
      </c>
      <c r="H11" s="3">
        <v>15.565482139587401</v>
      </c>
      <c r="I11" s="3">
        <v>15.51329326629639</v>
      </c>
      <c r="J11" s="3">
        <v>15.262210845947269</v>
      </c>
    </row>
    <row r="12" spans="1:10" x14ac:dyDescent="0.4">
      <c r="A12" s="2" t="s">
        <v>19</v>
      </c>
      <c r="B12" s="3">
        <v>1.0118415579199789E-2</v>
      </c>
      <c r="C12" s="3">
        <v>3.328733891248703E-2</v>
      </c>
      <c r="D12" s="3">
        <v>2.6488138362765309E-2</v>
      </c>
      <c r="E12" s="3">
        <v>0.1140388175845146</v>
      </c>
      <c r="F12" s="3">
        <v>8.601032942533493E-2</v>
      </c>
      <c r="G12" s="3">
        <v>8.0236539244651794E-2</v>
      </c>
      <c r="H12" s="3">
        <v>0.14546895027160639</v>
      </c>
      <c r="I12" s="3">
        <v>2.0341439172625542E-2</v>
      </c>
      <c r="J12" s="3">
        <v>3.9609186351299293E-2</v>
      </c>
    </row>
    <row r="13" spans="1:10" x14ac:dyDescent="0.4">
      <c r="A13" s="2" t="s">
        <v>20</v>
      </c>
      <c r="B13" s="3">
        <v>13.164071083068849</v>
      </c>
      <c r="C13" s="3">
        <v>11.984964370727541</v>
      </c>
      <c r="D13" s="3">
        <v>14.64481258392334</v>
      </c>
      <c r="E13" s="3">
        <v>13.535299301147459</v>
      </c>
      <c r="F13" s="3">
        <v>15.34314441680908</v>
      </c>
      <c r="G13" s="3">
        <v>16.419170379638668</v>
      </c>
      <c r="H13" s="3">
        <v>15.632071495056151</v>
      </c>
      <c r="I13" s="3">
        <v>15.638166427612299</v>
      </c>
      <c r="J13" s="3">
        <v>15.36187839508057</v>
      </c>
    </row>
    <row r="14" spans="1:10" x14ac:dyDescent="0.4">
      <c r="A14" s="2" t="s">
        <v>21</v>
      </c>
      <c r="B14" s="3">
        <v>1.0118415579199789E-2</v>
      </c>
      <c r="C14" s="3">
        <v>3.328733891248703E-2</v>
      </c>
      <c r="D14" s="3">
        <v>2.6488138362765309E-2</v>
      </c>
      <c r="E14" s="3">
        <v>0.1140388175845146</v>
      </c>
      <c r="F14" s="3">
        <v>8.601032942533493E-2</v>
      </c>
      <c r="G14" s="3">
        <v>8.0236539244651794E-2</v>
      </c>
      <c r="H14" s="3">
        <v>0.14546895027160639</v>
      </c>
      <c r="I14" s="3">
        <v>2.0341439172625542E-2</v>
      </c>
      <c r="J14" s="3">
        <v>3.9609186351299293E-2</v>
      </c>
    </row>
    <row r="15" spans="1:10" x14ac:dyDescent="0.4">
      <c r="A15" s="4" t="s">
        <v>22</v>
      </c>
      <c r="B15" s="5">
        <f t="shared" ref="B15:J15" si="0" xml:space="preserve"> B9-B3</f>
        <v>-19.006480116599104</v>
      </c>
      <c r="C15" s="5">
        <f t="shared" si="0"/>
        <v>-18.756729842045331</v>
      </c>
      <c r="D15" s="5">
        <f t="shared" si="0"/>
        <v>-19.012743249808921</v>
      </c>
      <c r="E15" s="5">
        <f t="shared" si="0"/>
        <v>-18.634747394906629</v>
      </c>
      <c r="F15" s="5">
        <f t="shared" si="0"/>
        <v>-18.854180512663856</v>
      </c>
      <c r="G15" s="5">
        <f t="shared" si="0"/>
        <v>-18.172552677713185</v>
      </c>
      <c r="H15" s="5">
        <f t="shared" si="0"/>
        <v>-18.685579348922658</v>
      </c>
      <c r="I15" s="5">
        <f t="shared" si="0"/>
        <v>-18.763725148134757</v>
      </c>
      <c r="J15" s="5">
        <f t="shared" si="0"/>
        <v>-19.778710967907777</v>
      </c>
    </row>
    <row r="16" spans="1:10" x14ac:dyDescent="0.4">
      <c r="A16" s="4" t="s">
        <v>23</v>
      </c>
      <c r="B16" s="5">
        <f t="shared" ref="B16:J16" si="1">SQRT(B4^2+B10^2)</f>
        <v>1.4309600813402009E-2</v>
      </c>
      <c r="C16" s="5">
        <f t="shared" si="1"/>
        <v>4.7075407030971288E-2</v>
      </c>
      <c r="D16" s="5">
        <f t="shared" si="1"/>
        <v>3.7459885110791971E-2</v>
      </c>
      <c r="E16" s="5">
        <f t="shared" si="1"/>
        <v>0.16127524155000383</v>
      </c>
      <c r="F16" s="5">
        <f t="shared" si="1"/>
        <v>0.12163697604541637</v>
      </c>
      <c r="G16" s="5">
        <f t="shared" si="1"/>
        <v>0.11347160373892991</v>
      </c>
      <c r="H16" s="5">
        <f t="shared" si="1"/>
        <v>0.20572415969965352</v>
      </c>
      <c r="I16" s="5">
        <f t="shared" si="1"/>
        <v>2.8767139721923358E-2</v>
      </c>
      <c r="J16" s="5">
        <f t="shared" si="1"/>
        <v>0.19047799204771673</v>
      </c>
    </row>
    <row r="17" spans="1:10" x14ac:dyDescent="0.4">
      <c r="A17" s="4" t="s">
        <v>24</v>
      </c>
      <c r="B17" s="5">
        <f t="shared" ref="B17:J17" si="2">B11-B3</f>
        <v>-19.167910475485826</v>
      </c>
      <c r="C17" s="5">
        <f t="shared" si="2"/>
        <v>-18.892680884220621</v>
      </c>
      <c r="D17" s="5">
        <f t="shared" si="2"/>
        <v>-19.132746950065272</v>
      </c>
      <c r="E17" s="5">
        <f t="shared" si="2"/>
        <v>-18.601635822641008</v>
      </c>
      <c r="F17" s="5">
        <f t="shared" si="2"/>
        <v>-19.088458237883586</v>
      </c>
      <c r="G17" s="5">
        <f t="shared" si="2"/>
        <v>-17.987638088784962</v>
      </c>
      <c r="H17" s="5">
        <f t="shared" si="2"/>
        <v>-18.783605624557424</v>
      </c>
      <c r="I17" s="5">
        <f t="shared" si="2"/>
        <v>-18.619011746340316</v>
      </c>
      <c r="J17" s="5">
        <f t="shared" si="2"/>
        <v>-19.891605979809629</v>
      </c>
    </row>
    <row r="18" spans="1:10" x14ac:dyDescent="0.4">
      <c r="A18" s="4" t="s">
        <v>25</v>
      </c>
      <c r="B18" s="5">
        <f t="shared" ref="B18:J18" si="3">SQRT(B4^2+B12^2)</f>
        <v>1.4309600813402009E-2</v>
      </c>
      <c r="C18" s="5">
        <f t="shared" si="3"/>
        <v>4.7075407030971288E-2</v>
      </c>
      <c r="D18" s="5">
        <f t="shared" si="3"/>
        <v>3.7459885110791971E-2</v>
      </c>
      <c r="E18" s="5">
        <f t="shared" si="3"/>
        <v>0.16127524155000383</v>
      </c>
      <c r="F18" s="5">
        <f t="shared" si="3"/>
        <v>0.12163697604541637</v>
      </c>
      <c r="G18" s="5">
        <f t="shared" si="3"/>
        <v>0.11347160373892991</v>
      </c>
      <c r="H18" s="5">
        <f t="shared" si="3"/>
        <v>0.20572415969965352</v>
      </c>
      <c r="I18" s="5">
        <f t="shared" si="3"/>
        <v>2.8767139721923358E-2</v>
      </c>
      <c r="J18" s="5">
        <f t="shared" si="3"/>
        <v>0.19047799204771673</v>
      </c>
    </row>
    <row r="19" spans="1:10" x14ac:dyDescent="0.4">
      <c r="A19" s="4" t="s">
        <v>26</v>
      </c>
      <c r="B19" s="5">
        <f t="shared" ref="B19:J19" si="4" xml:space="preserve"> B13-B3</f>
        <v>-19.251565832846666</v>
      </c>
      <c r="C19" s="5">
        <f t="shared" si="4"/>
        <v>-18.915261031010168</v>
      </c>
      <c r="D19" s="5">
        <f t="shared" si="4"/>
        <v>-19.155010476981772</v>
      </c>
      <c r="E19" s="5">
        <f t="shared" si="4"/>
        <v>-18.566219219552629</v>
      </c>
      <c r="F19" s="5">
        <f t="shared" si="4"/>
        <v>-19.081957040068644</v>
      </c>
      <c r="G19" s="5">
        <f t="shared" si="4"/>
        <v>-17.604058834634575</v>
      </c>
      <c r="H19" s="5">
        <f t="shared" si="4"/>
        <v>-18.717016269088674</v>
      </c>
      <c r="I19" s="5">
        <f t="shared" si="4"/>
        <v>-18.494138585024409</v>
      </c>
      <c r="J19" s="5">
        <f t="shared" si="4"/>
        <v>-19.791938430676328</v>
      </c>
    </row>
    <row r="20" spans="1:10" x14ac:dyDescent="0.4">
      <c r="A20" s="4" t="s">
        <v>27</v>
      </c>
      <c r="B20">
        <f t="shared" ref="B20:J20" si="5">SQRT(B14^2+B4^2)</f>
        <v>1.4309600813402009E-2</v>
      </c>
      <c r="C20">
        <f t="shared" si="5"/>
        <v>4.7075407030971288E-2</v>
      </c>
      <c r="D20">
        <f t="shared" si="5"/>
        <v>3.7459885110791971E-2</v>
      </c>
      <c r="E20">
        <f t="shared" si="5"/>
        <v>0.16127524155000383</v>
      </c>
      <c r="F20">
        <f t="shared" si="5"/>
        <v>0.12163697604541637</v>
      </c>
      <c r="G20">
        <f t="shared" si="5"/>
        <v>0.11347160373892991</v>
      </c>
      <c r="H20">
        <f t="shared" si="5"/>
        <v>0.20572415969965352</v>
      </c>
      <c r="I20">
        <f t="shared" si="5"/>
        <v>2.8767139721923358E-2</v>
      </c>
      <c r="J20">
        <f t="shared" si="5"/>
        <v>0.19047799204771673</v>
      </c>
    </row>
    <row r="22" spans="1:10" x14ac:dyDescent="0.4">
      <c r="A22" s="6" t="s">
        <v>28</v>
      </c>
      <c r="B22" s="5">
        <f>AVERAGE(B15:I15)</f>
        <v>-18.735842286349307</v>
      </c>
      <c r="C22" s="5">
        <f>AVERAGE(C17:J17)</f>
        <v>-18.874672916787851</v>
      </c>
      <c r="D22" s="5">
        <f>AVERAGE(C19:K19)</f>
        <v>-18.790699985879652</v>
      </c>
    </row>
    <row r="23" spans="1:10" x14ac:dyDescent="0.4">
      <c r="A23" s="6" t="s">
        <v>29</v>
      </c>
      <c r="B23">
        <f>STDEV(B15:I15)</f>
        <v>0.26596948848928198</v>
      </c>
      <c r="C23">
        <f>STDEV(C17:J17)</f>
        <v>0.54534647419062865</v>
      </c>
      <c r="D23">
        <f>STDEV(D19:K19)</f>
        <v>0.67942396267398475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SNooPy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Isabella Önder</cp:lastModifiedBy>
  <dcterms:created xsi:type="dcterms:W3CDTF">2026-04-04T13:44:21Z</dcterms:created>
  <dcterms:modified xsi:type="dcterms:W3CDTF">2026-04-09T18:43:17Z</dcterms:modified>
</cp:coreProperties>
</file>