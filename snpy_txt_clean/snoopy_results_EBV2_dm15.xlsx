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lla\Desktop\Durham\YEAR 3\Advanced Labs\Programming\snpy_txt_clean\"/>
    </mc:Choice>
  </mc:AlternateContent>
  <xr:revisionPtr revIDLastSave="0" documentId="13_ncr:1_{707A56A5-4A3B-450B-A75E-411D98E52296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NooP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8" i="1"/>
  <c r="K17" i="1"/>
  <c r="K16" i="1"/>
  <c r="K15" i="1"/>
  <c r="D23" i="1"/>
  <c r="D22" i="1"/>
  <c r="C20" i="1"/>
  <c r="D20" i="1"/>
  <c r="E20" i="1"/>
  <c r="F20" i="1"/>
  <c r="G20" i="1"/>
  <c r="H20" i="1"/>
  <c r="I20" i="1"/>
  <c r="J20" i="1"/>
  <c r="C19" i="1"/>
  <c r="D19" i="1"/>
  <c r="E19" i="1"/>
  <c r="F19" i="1"/>
  <c r="G19" i="1"/>
  <c r="H19" i="1"/>
  <c r="I19" i="1"/>
  <c r="J19" i="1"/>
  <c r="C18" i="1"/>
  <c r="D18" i="1"/>
  <c r="E18" i="1"/>
  <c r="F18" i="1"/>
  <c r="G18" i="1"/>
  <c r="H18" i="1"/>
  <c r="I18" i="1"/>
  <c r="J18" i="1"/>
  <c r="C17" i="1"/>
  <c r="D17" i="1"/>
  <c r="E17" i="1"/>
  <c r="F17" i="1"/>
  <c r="G17" i="1"/>
  <c r="H17" i="1"/>
  <c r="I17" i="1"/>
  <c r="J17" i="1"/>
  <c r="C16" i="1"/>
  <c r="D16" i="1"/>
  <c r="E16" i="1"/>
  <c r="F16" i="1"/>
  <c r="G16" i="1"/>
  <c r="H16" i="1"/>
  <c r="I16" i="1"/>
  <c r="J16" i="1"/>
  <c r="C15" i="1"/>
  <c r="D15" i="1"/>
  <c r="E15" i="1"/>
  <c r="F15" i="1"/>
  <c r="G15" i="1"/>
  <c r="H15" i="1"/>
  <c r="I15" i="1"/>
  <c r="J15" i="1"/>
  <c r="E23" i="1" l="1"/>
  <c r="C23" i="1"/>
  <c r="E22" i="1"/>
  <c r="C22" i="1"/>
</calcChain>
</file>

<file path=xl/sharedStrings.xml><?xml version="1.0" encoding="utf-8"?>
<sst xmlns="http://schemas.openxmlformats.org/spreadsheetml/2006/main" count="33" uniqueCount="33">
  <si>
    <t>Parameter</t>
  </si>
  <si>
    <t>SN2019np</t>
  </si>
  <si>
    <t>SN2020ue</t>
  </si>
  <si>
    <t>SN2025ahsa</t>
  </si>
  <si>
    <t>SN2026acd</t>
  </si>
  <si>
    <t>SN2026atb</t>
  </si>
  <si>
    <t>SN2026gm</t>
  </si>
  <si>
    <t>SN2026kc_subbed</t>
  </si>
  <si>
    <t>SN2025acsn_subbed</t>
  </si>
  <si>
    <t>z_CMB</t>
  </si>
  <si>
    <t>DM (mag)</t>
  </si>
  <si>
    <t>DM error (mag)</t>
  </si>
  <si>
    <t>Δm₁₅ (mag)</t>
  </si>
  <si>
    <t>Δm₁₅ error (mag)</t>
  </si>
  <si>
    <t>T_max (MJD)</t>
  </si>
  <si>
    <t>T_max error (days)</t>
  </si>
  <si>
    <t>i_max (mag)</t>
  </si>
  <si>
    <t>i_max_error (mag)</t>
  </si>
  <si>
    <t>r_max (mag)</t>
  </si>
  <si>
    <t>r_max_error (mag)</t>
  </si>
  <si>
    <t>v_max (mag)</t>
  </si>
  <si>
    <t>v_max_error (mag)</t>
  </si>
  <si>
    <t>M_abs_i (mag)</t>
  </si>
  <si>
    <t>M_abs_r (mag)</t>
  </si>
  <si>
    <t>M_abs_v (mag</t>
  </si>
  <si>
    <t>M_abs_i_error (mag)</t>
  </si>
  <si>
    <t>M_abs_r_error (mag)</t>
  </si>
  <si>
    <t>M_abs_v_error (mag</t>
  </si>
  <si>
    <t>mean_Ms</t>
  </si>
  <si>
    <t>std_Ms</t>
  </si>
  <si>
    <t>SN2025ahkt</t>
  </si>
  <si>
    <t>st</t>
  </si>
  <si>
    <t>st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</si>
</sst>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0" fillId="0" borderId="0" xfId="0" applyNumberFormat="1"/>
    <xf numFmtId="0" fontId="2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'SNooPy Results'!$A$15</c:f>
              <c:strCache>
                <c:ptCount val="1"/>
                <c:pt idx="0">
                  <c:v>M_abs_i (mag)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'SNooPy Results'!$B$5:$J$5</c:f>
              <c:numCache>
                <c:formatCode>0.0000</c:formatCode>
                <c:ptCount val="9"/>
                <c:pt idx="1">
                  <c:v>0.8815198946724947</c:v>
                </c:pt>
                <c:pt idx="2">
                  <c:v>1.4286013629129379</c:v>
                </c:pt>
                <c:pt idx="3">
                  <c:v>0.84467634996614904</c:v>
                </c:pt>
                <c:pt idx="4">
                  <c:v>1.013578019877027</c:v>
                </c:pt>
                <c:pt idx="5">
                  <c:v>0.92766529960533639</c:v>
                </c:pt>
                <c:pt idx="6">
                  <c:v>1.036576316487394</c:v>
                </c:pt>
                <c:pt idx="7">
                  <c:v>0.99961412335997135</c:v>
                </c:pt>
                <c:pt idx="8">
                  <c:v>0.79579455025903767</c:v>
                </c:pt>
              </c:numCache>
            </c:numRef>
          </c:xVal>
          <c:yVal>
            <c:numRef>
              <c:f>'SNooPy Results'!$B$15:$J$15</c:f>
              <c:numCache>
                <c:formatCode>0.0000</c:formatCode>
                <c:ptCount val="9"/>
                <c:pt idx="1">
                  <c:v>-19.00240005423808</c:v>
                </c:pt>
                <c:pt idx="2">
                  <c:v>-18.770291641252658</c:v>
                </c:pt>
                <c:pt idx="3">
                  <c:v>-19.008490497238711</c:v>
                </c:pt>
                <c:pt idx="4">
                  <c:v>-18.782712591951171</c:v>
                </c:pt>
                <c:pt idx="5">
                  <c:v>-18.90859623818735</c:v>
                </c:pt>
                <c:pt idx="6">
                  <c:v>-18.20366616425116</c:v>
                </c:pt>
                <c:pt idx="7">
                  <c:v>-18.947774418719391</c:v>
                </c:pt>
                <c:pt idx="8">
                  <c:v>-18.66781939780347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1F-4D73-B666-0B87C7D6E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01055"/>
        <c:axId val="548706335"/>
      </c:scatterChart>
      <c:valAx>
        <c:axId val="54870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06335"/>
        <c:crosses val="autoZero"/>
        <c:crossBetween val="midCat"/>
      </c:valAx>
      <c:valAx>
        <c:axId val="54870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0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77537182852143"/>
          <c:y val="0.19486111111111112"/>
          <c:w val="0.8237386264216972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'SNooPy Results'!$A$25</c:f>
              <c:strCache>
                <c:ptCount val="1"/>
                <c:pt idx="0">
                  <c:v>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'SNooPy Results'!$B$5:$K$5</c:f>
              <c:numCache>
                <c:formatCode>0.0000</c:formatCode>
                <c:ptCount val="10"/>
                <c:pt idx="1">
                  <c:v>0.8815198946724947</c:v>
                </c:pt>
                <c:pt idx="2">
                  <c:v>1.4286013629129379</c:v>
                </c:pt>
                <c:pt idx="3">
                  <c:v>0.84467634996614904</c:v>
                </c:pt>
                <c:pt idx="4">
                  <c:v>1.013578019877027</c:v>
                </c:pt>
                <c:pt idx="5">
                  <c:v>0.92766529960533639</c:v>
                </c:pt>
                <c:pt idx="6">
                  <c:v>1.036576316487394</c:v>
                </c:pt>
                <c:pt idx="7">
                  <c:v>0.99961412335997135</c:v>
                </c:pt>
                <c:pt idx="8">
                  <c:v>0.79579455025903767</c:v>
                </c:pt>
                <c:pt idx="9">
                  <c:v>1.629500234878912</c:v>
                </c:pt>
              </c:numCache>
            </c:numRef>
          </c:xVal>
          <c:yVal>
            <c:numRef>
              <c:f>'SNooPy Results'!$B$25:$K$25</c:f>
              <c:numCache>
                <c:formatCode>0.0000</c:formatCode>
                <c:ptCount val="10"/>
                <c:pt idx="0">
                  <c:v>1.189170628945581</c:v>
                </c:pt>
                <c:pt idx="1">
                  <c:v>0.79261414909385153</c:v>
                </c:pt>
                <c:pt idx="2">
                  <c:v>1.1905274418406919</c:v>
                </c:pt>
                <c:pt idx="3">
                  <c:v>0.62965071371089942</c:v>
                </c:pt>
                <c:pt idx="4">
                  <c:v>1.0455515079776669</c:v>
                </c:pt>
                <c:pt idx="5">
                  <c:v>1.0099416412640549</c:v>
                </c:pt>
                <c:pt idx="6">
                  <c:v>0.69372306584563503</c:v>
                </c:pt>
                <c:pt idx="7">
                  <c:v>1.4506172568995039</c:v>
                </c:pt>
                <c:pt idx="8">
                  <c:v>0.70931719807274751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7-413F-B9C5-ED3BC4EF3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26047"/>
        <c:axId val="581121727"/>
      </c:scatterChart>
      <c:valAx>
        <c:axId val="58112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21727"/>
        <c:crosses val="autoZero"/>
        <c:crossBetween val="midCat"/>
      </c:valAx>
      <c:valAx>
        <c:axId val="58112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126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517433</xdr:colOff>
      <xdr:row>29</xdr:row>
      <xdr:rowOff>131503</xdr:rowOff>
    </xdr:from>
    <xdr:to>
      <xdr:col>6</xdr:col>
      <xdr:colOff>1013543</xdr:colOff>
      <xdr:row>44</xdr:row>
      <xdr:rowOff>153275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0D774-EAFD-1FC8-EA9C-E05AC5087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882570</xdr:colOff>
      <xdr:row>27</xdr:row>
      <xdr:rowOff>89481</xdr:rowOff>
    </xdr:from>
    <xdr:to>
      <xdr:col>12</xdr:col>
      <xdr:colOff>619793</xdr:colOff>
      <xdr:row>42</xdr:row>
      <xdr:rowOff>115110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092E6F-E3C3-1F91-B920-72AB9B02E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88" workbookViewId="0">
      <pane xSplit="1" ySplit="1" topLeftCell="B2" activePane="bottomRight" state="frozen"/>
      <selection pane="topRight"/>
      <selection pane="bottomLeft"/>
      <selection pane="bottomRight" activeCell="M26" sqref="M26"/>
    </sheetView>
  </sheetViews>
  <sheetFormatPr defaultRowHeight="14.6" x14ac:dyDescent="0.4"/>
  <cols>
    <col min="1" max="1" width="22" customWidth="1"/>
    <col min="2" max="10" width="16" customWidth="1"/>
    <col min="11" max="11" width="10.921875" bestFit="1" customWidth="1"/>
  </cols>
  <sheetData>
    <row r="1" spans="1:11" x14ac:dyDescent="0.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30</v>
      </c>
    </row>
    <row r="2" spans="1:11" x14ac:dyDescent="0.4">
      <c r="A2" s="2" t="s">
        <v>9</v>
      </c>
      <c r="B2" s="3"/>
      <c r="C2" s="3">
        <v>5.4957131629876383E-3</v>
      </c>
      <c r="D2" s="3">
        <v>4.1243534288284093E-3</v>
      </c>
      <c r="E2" s="3">
        <v>1.577412103393137E-2</v>
      </c>
      <c r="F2" s="3">
        <v>8.6996271246128545E-3</v>
      </c>
      <c r="G2" s="3">
        <v>1.86074229318118E-2</v>
      </c>
      <c r="H2" s="3">
        <v>1.820681159016178E-2</v>
      </c>
      <c r="I2" s="3">
        <v>2.3985414903784481E-2</v>
      </c>
      <c r="J2" s="3">
        <v>1.478085509744197E-2</v>
      </c>
      <c r="K2" s="3">
        <v>2.6228000000000001E-2</v>
      </c>
    </row>
    <row r="3" spans="1:11" x14ac:dyDescent="0.4">
      <c r="A3" s="2" t="s">
        <v>10</v>
      </c>
      <c r="B3" s="3"/>
      <c r="C3" s="3">
        <v>32.423707618019819</v>
      </c>
      <c r="D3" s="3">
        <v>30.843299224870819</v>
      </c>
      <c r="E3" s="3">
        <v>33.829580241806582</v>
      </c>
      <c r="F3" s="3">
        <v>32.655211104219241</v>
      </c>
      <c r="G3" s="3">
        <v>34.471606453946627</v>
      </c>
      <c r="H3" s="3">
        <v>34.046445323797059</v>
      </c>
      <c r="I3" s="3">
        <v>35.058120259173492</v>
      </c>
      <c r="J3" s="3">
        <v>34.042925255652591</v>
      </c>
      <c r="K3" s="3">
        <v>34.921059678224623</v>
      </c>
    </row>
    <row r="4" spans="1:11" x14ac:dyDescent="0.4">
      <c r="A4" s="2" t="s">
        <v>11</v>
      </c>
      <c r="B4" s="3"/>
      <c r="C4" s="3">
        <v>9.7582592436760915E-3</v>
      </c>
      <c r="D4" s="3">
        <v>5.2453942076159388E-2</v>
      </c>
      <c r="E4" s="3">
        <v>2.0361264022562178E-2</v>
      </c>
      <c r="F4" s="3">
        <v>0.1208892628712508</v>
      </c>
      <c r="G4" s="3">
        <v>5.3591009077028642E-2</v>
      </c>
      <c r="H4" s="3">
        <v>4.1128786154405253E-2</v>
      </c>
      <c r="I4" s="3">
        <v>0.1012016863295977</v>
      </c>
      <c r="J4" s="3">
        <v>3.9609188176979011E-2</v>
      </c>
      <c r="K4" s="3">
        <v>0.18343923485140659</v>
      </c>
    </row>
    <row r="5" spans="1:11" x14ac:dyDescent="0.4">
      <c r="A5" s="2" t="s">
        <v>12</v>
      </c>
      <c r="B5" s="3"/>
      <c r="C5" s="3">
        <v>0.8815198946724947</v>
      </c>
      <c r="D5" s="3">
        <v>1.4286013629129379</v>
      </c>
      <c r="E5" s="3">
        <v>0.84467634996614904</v>
      </c>
      <c r="F5" s="3">
        <v>1.013578019877027</v>
      </c>
      <c r="G5" s="3">
        <v>0.92766529960533639</v>
      </c>
      <c r="H5" s="3">
        <v>1.036576316487394</v>
      </c>
      <c r="I5" s="3">
        <v>0.99961412335997135</v>
      </c>
      <c r="J5" s="3">
        <v>0.79579455025903767</v>
      </c>
      <c r="K5" s="3">
        <v>1.629500234878912</v>
      </c>
    </row>
    <row r="6" spans="1:11" x14ac:dyDescent="0.4">
      <c r="A6" s="2" t="s">
        <v>13</v>
      </c>
      <c r="B6" s="3"/>
      <c r="C6" s="3">
        <v>1.3746081795055839E-2</v>
      </c>
      <c r="D6" s="3">
        <v>2.9573556867990441E-2</v>
      </c>
      <c r="E6" s="3">
        <v>2.311056054288051E-2</v>
      </c>
      <c r="F6" s="3">
        <v>5.3346919804079559E-2</v>
      </c>
      <c r="G6" s="3">
        <v>8.8456453395191065E-2</v>
      </c>
      <c r="H6" s="3">
        <v>3.2182288142148928E-2</v>
      </c>
      <c r="I6" s="3">
        <v>0.12886137220349081</v>
      </c>
      <c r="J6" s="3">
        <v>3.7224709207301768E-2</v>
      </c>
      <c r="K6" s="3">
        <v>7.2193938543504532E-2</v>
      </c>
    </row>
    <row r="7" spans="1:11" x14ac:dyDescent="0.4">
      <c r="A7" s="2" t="s">
        <v>14</v>
      </c>
      <c r="B7" s="3"/>
      <c r="C7" s="3">
        <v>58509.160829400273</v>
      </c>
      <c r="D7" s="3">
        <v>58873.067346126372</v>
      </c>
      <c r="E7" s="3">
        <v>61035.713012354303</v>
      </c>
      <c r="F7" s="3">
        <v>61062.574677473072</v>
      </c>
      <c r="G7" s="3">
        <v>61076.909572862183</v>
      </c>
      <c r="H7" s="3">
        <v>61060.868319386587</v>
      </c>
      <c r="I7" s="3">
        <v>61066.82817639353</v>
      </c>
      <c r="J7" s="3">
        <v>60997.204070530111</v>
      </c>
      <c r="K7" s="3">
        <v>61065.385274093998</v>
      </c>
    </row>
    <row r="8" spans="1:11" x14ac:dyDescent="0.4">
      <c r="A8" s="2" t="s">
        <v>15</v>
      </c>
      <c r="B8" s="3"/>
      <c r="C8" s="3">
        <v>0.18776956884156509</v>
      </c>
      <c r="D8" s="3">
        <v>0.21980168951109599</v>
      </c>
      <c r="E8" s="3">
        <v>0.58811178858880087</v>
      </c>
      <c r="F8" s="3">
        <v>1.514670340429727</v>
      </c>
      <c r="G8" s="3">
        <v>0.94720557145681672</v>
      </c>
      <c r="H8" s="3">
        <v>0.97654515187679236</v>
      </c>
      <c r="I8" s="3">
        <v>1.281155371336316</v>
      </c>
      <c r="J8" s="3">
        <v>0.84017990504816886</v>
      </c>
      <c r="K8" s="3">
        <v>1.722430025074932</v>
      </c>
    </row>
    <row r="9" spans="1:11" x14ac:dyDescent="0.4">
      <c r="A9" s="2" t="s">
        <v>16</v>
      </c>
      <c r="B9" s="3"/>
      <c r="C9" s="3">
        <v>13.42130756378174</v>
      </c>
      <c r="D9" s="3">
        <v>12.073007583618161</v>
      </c>
      <c r="E9" s="3">
        <v>14.821089744567869</v>
      </c>
      <c r="F9" s="3">
        <v>13.87249851226807</v>
      </c>
      <c r="G9" s="3">
        <v>15.563010215759279</v>
      </c>
      <c r="H9" s="3">
        <v>15.8427791595459</v>
      </c>
      <c r="I9" s="3">
        <v>16.110345840454102</v>
      </c>
      <c r="J9" s="3">
        <v>15.375105857849119</v>
      </c>
      <c r="K9" s="3">
        <v>15.375105857849119</v>
      </c>
    </row>
    <row r="10" spans="1:11" x14ac:dyDescent="0.4">
      <c r="A10" s="2" t="s">
        <v>17</v>
      </c>
      <c r="B10" s="3"/>
      <c r="C10" s="3">
        <v>9.7582591697573662E-3</v>
      </c>
      <c r="D10" s="3">
        <v>5.2453942596912377E-2</v>
      </c>
      <c r="E10" s="3">
        <v>2.036126330494881E-2</v>
      </c>
      <c r="F10" s="3">
        <v>0.1208892613649368</v>
      </c>
      <c r="G10" s="3">
        <v>5.3591009229421623E-2</v>
      </c>
      <c r="H10" s="3">
        <v>4.1128784418106079E-2</v>
      </c>
      <c r="I10" s="3">
        <v>0.1012016832828522</v>
      </c>
      <c r="J10" s="3">
        <v>3.9609186351299293E-2</v>
      </c>
      <c r="K10" s="3">
        <v>3.9609186351299293E-2</v>
      </c>
    </row>
    <row r="11" spans="1:11" x14ac:dyDescent="0.4">
      <c r="A11" s="2" t="s">
        <v>18</v>
      </c>
      <c r="B11" s="3"/>
      <c r="C11" s="3">
        <v>13.227462768554689</v>
      </c>
      <c r="D11" s="3">
        <v>11.998393058776861</v>
      </c>
      <c r="E11" s="3">
        <v>14.67242908477783</v>
      </c>
      <c r="F11" s="3">
        <v>13.520838737487789</v>
      </c>
      <c r="G11" s="3">
        <v>15.334811210632321</v>
      </c>
      <c r="H11" s="3">
        <v>16.019729614257809</v>
      </c>
      <c r="I11" s="3">
        <v>15.849423408508301</v>
      </c>
      <c r="J11" s="3">
        <v>15.262210845947269</v>
      </c>
      <c r="K11" s="3">
        <v>15.262210845947269</v>
      </c>
    </row>
    <row r="12" spans="1:11" x14ac:dyDescent="0.4">
      <c r="A12" s="2" t="s">
        <v>19</v>
      </c>
      <c r="B12" s="3"/>
      <c r="C12" s="3">
        <v>9.7582591697573662E-3</v>
      </c>
      <c r="D12" s="3">
        <v>5.2453942596912377E-2</v>
      </c>
      <c r="E12" s="3">
        <v>2.036126330494881E-2</v>
      </c>
      <c r="F12" s="3">
        <v>0.1208892613649368</v>
      </c>
      <c r="G12" s="3">
        <v>5.3591009229421623E-2</v>
      </c>
      <c r="H12" s="3">
        <v>4.1128784418106079E-2</v>
      </c>
      <c r="I12" s="3">
        <v>0.1012016832828522</v>
      </c>
      <c r="J12" s="3">
        <v>3.9609186351299293E-2</v>
      </c>
      <c r="K12" s="3">
        <v>3.9609186351299293E-2</v>
      </c>
    </row>
    <row r="13" spans="1:11" x14ac:dyDescent="0.4">
      <c r="A13" s="2" t="s">
        <v>20</v>
      </c>
      <c r="B13" s="3"/>
      <c r="C13" s="3">
        <v>13.1557502746582</v>
      </c>
      <c r="D13" s="3">
        <v>11.980978965759279</v>
      </c>
      <c r="E13" s="3">
        <v>14.66091156005859</v>
      </c>
      <c r="F13" s="3">
        <v>13.471914291381839</v>
      </c>
      <c r="G13" s="3">
        <v>15.345370292663571</v>
      </c>
      <c r="H13" s="3">
        <v>16.406827926635739</v>
      </c>
      <c r="I13" s="3">
        <v>15.8540506362915</v>
      </c>
      <c r="J13" s="3">
        <v>15.36187839508057</v>
      </c>
      <c r="K13" s="3">
        <v>15.36187839508057</v>
      </c>
    </row>
    <row r="14" spans="1:11" x14ac:dyDescent="0.4">
      <c r="A14" s="2" t="s">
        <v>21</v>
      </c>
      <c r="B14" s="3"/>
      <c r="C14" s="3">
        <v>9.7582591697573662E-3</v>
      </c>
      <c r="D14" s="3">
        <v>5.2453942596912377E-2</v>
      </c>
      <c r="E14" s="3">
        <v>2.036126330494881E-2</v>
      </c>
      <c r="F14" s="3">
        <v>0.1208892613649368</v>
      </c>
      <c r="G14" s="3">
        <v>5.3591009229421623E-2</v>
      </c>
      <c r="H14" s="3">
        <v>4.1128784418106079E-2</v>
      </c>
      <c r="I14" s="3">
        <v>0.1012016832828522</v>
      </c>
      <c r="J14" s="3">
        <v>3.9609186351299293E-2</v>
      </c>
      <c r="K14" s="3">
        <v>3.9609186351299293E-2</v>
      </c>
    </row>
    <row r="15" spans="1:11" x14ac:dyDescent="0.4">
      <c r="A15" s="4" t="s">
        <v>22</v>
      </c>
      <c r="B15" s="5"/>
      <c r="C15" s="5">
        <f t="shared" ref="C15:K15" si="0" xml:space="preserve"> C9-C3</f>
        <v>-19.00240005423808</v>
      </c>
      <c r="D15" s="5">
        <f t="shared" si="0"/>
        <v>-18.770291641252658</v>
      </c>
      <c r="E15" s="5">
        <f t="shared" si="0"/>
        <v>-19.008490497238711</v>
      </c>
      <c r="F15" s="5">
        <f t="shared" si="0"/>
        <v>-18.782712591951171</v>
      </c>
      <c r="G15" s="5">
        <f t="shared" si="0"/>
        <v>-18.90859623818735</v>
      </c>
      <c r="H15" s="5">
        <f t="shared" si="0"/>
        <v>-18.20366616425116</v>
      </c>
      <c r="I15" s="5">
        <f t="shared" si="0"/>
        <v>-18.947774418719391</v>
      </c>
      <c r="J15" s="5">
        <f t="shared" si="0"/>
        <v>-18.66781939780347</v>
      </c>
      <c r="K15" s="5">
        <f t="shared" si="0"/>
        <v>-19.545953820375502</v>
      </c>
    </row>
    <row r="16" spans="1:11" x14ac:dyDescent="0.4">
      <c r="A16" s="4" t="s">
        <v>25</v>
      </c>
      <c r="B16" s="5"/>
      <c r="C16" s="5">
        <f t="shared" ref="C16:K16" si="1">SQRT(C4^2+C10^2)</f>
        <v>1.3800262515290918E-2</v>
      </c>
      <c r="D16" s="5">
        <f t="shared" si="1"/>
        <v>7.418107665226531E-2</v>
      </c>
      <c r="E16" s="5">
        <f t="shared" si="1"/>
        <v>2.8795175220337518E-2</v>
      </c>
      <c r="F16" s="5">
        <f t="shared" si="1"/>
        <v>0.17096323403268429</v>
      </c>
      <c r="G16" s="5">
        <f t="shared" si="1"/>
        <v>7.5789131965751669E-2</v>
      </c>
      <c r="H16" s="5">
        <f t="shared" si="1"/>
        <v>5.8164885955753774E-2</v>
      </c>
      <c r="I16" s="5">
        <f t="shared" si="1"/>
        <v>0.14312079518797052</v>
      </c>
      <c r="J16" s="5">
        <f t="shared" si="1"/>
        <v>5.6015849823521272E-2</v>
      </c>
      <c r="K16" s="5">
        <f t="shared" si="1"/>
        <v>0.18766683384733024</v>
      </c>
    </row>
    <row r="17" spans="1:11" x14ac:dyDescent="0.4">
      <c r="A17" s="4" t="s">
        <v>23</v>
      </c>
      <c r="B17" s="5"/>
      <c r="C17" s="5">
        <f t="shared" ref="C17:K17" si="2">C11-C3</f>
        <v>-19.196244849465131</v>
      </c>
      <c r="D17" s="5">
        <f t="shared" si="2"/>
        <v>-18.844906166093956</v>
      </c>
      <c r="E17" s="5">
        <f t="shared" si="2"/>
        <v>-19.15715115702875</v>
      </c>
      <c r="F17" s="5">
        <f t="shared" si="2"/>
        <v>-19.134372366731451</v>
      </c>
      <c r="G17" s="5">
        <f t="shared" si="2"/>
        <v>-19.136795243314307</v>
      </c>
      <c r="H17" s="5">
        <f t="shared" si="2"/>
        <v>-18.02671570953925</v>
      </c>
      <c r="I17" s="5">
        <f t="shared" si="2"/>
        <v>-19.208696850665191</v>
      </c>
      <c r="J17" s="5">
        <f t="shared" si="2"/>
        <v>-18.780714409705322</v>
      </c>
      <c r="K17" s="5">
        <f t="shared" si="2"/>
        <v>-19.658848832277354</v>
      </c>
    </row>
    <row r="18" spans="1:11" x14ac:dyDescent="0.4">
      <c r="A18" s="4" t="s">
        <v>26</v>
      </c>
      <c r="B18" s="5"/>
      <c r="C18" s="5">
        <f t="shared" ref="C18:K18" si="3">SQRT(C4^2+C12^2)</f>
        <v>1.3800262515290918E-2</v>
      </c>
      <c r="D18" s="5">
        <f t="shared" si="3"/>
        <v>7.418107665226531E-2</v>
      </c>
      <c r="E18" s="5">
        <f t="shared" si="3"/>
        <v>2.8795175220337518E-2</v>
      </c>
      <c r="F18" s="5">
        <f t="shared" si="3"/>
        <v>0.17096323403268429</v>
      </c>
      <c r="G18" s="5">
        <f t="shared" si="3"/>
        <v>7.5789131965751669E-2</v>
      </c>
      <c r="H18" s="5">
        <f t="shared" si="3"/>
        <v>5.8164885955753774E-2</v>
      </c>
      <c r="I18" s="5">
        <f t="shared" si="3"/>
        <v>0.14312079518797052</v>
      </c>
      <c r="J18" s="5">
        <f t="shared" si="3"/>
        <v>5.6015849823521272E-2</v>
      </c>
      <c r="K18" s="5">
        <f t="shared" si="3"/>
        <v>0.18766683384733024</v>
      </c>
    </row>
    <row r="19" spans="1:11" x14ac:dyDescent="0.4">
      <c r="A19" s="4" t="s">
        <v>24</v>
      </c>
      <c r="B19" s="5"/>
      <c r="C19" s="5">
        <f t="shared" ref="C19:K19" si="4" xml:space="preserve"> C13-C3</f>
        <v>-19.267957343361619</v>
      </c>
      <c r="D19" s="5">
        <f t="shared" si="4"/>
        <v>-18.862320259111542</v>
      </c>
      <c r="E19" s="5">
        <f t="shared" si="4"/>
        <v>-19.168668681747992</v>
      </c>
      <c r="F19" s="5">
        <f t="shared" si="4"/>
        <v>-19.183296812837401</v>
      </c>
      <c r="G19" s="5">
        <f t="shared" si="4"/>
        <v>-19.126236161283057</v>
      </c>
      <c r="H19" s="5">
        <f t="shared" si="4"/>
        <v>-17.63961739716132</v>
      </c>
      <c r="I19" s="5">
        <f t="shared" si="4"/>
        <v>-19.204069622881992</v>
      </c>
      <c r="J19" s="5">
        <f t="shared" si="4"/>
        <v>-18.681046860572021</v>
      </c>
      <c r="K19" s="5">
        <f t="shared" si="4"/>
        <v>-19.559181283144053</v>
      </c>
    </row>
    <row r="20" spans="1:11" x14ac:dyDescent="0.4">
      <c r="A20" s="4" t="s">
        <v>27</v>
      </c>
      <c r="C20">
        <f t="shared" ref="C20:K20" si="5">SQRT(C14^2+C4^2)</f>
        <v>1.3800262515290918E-2</v>
      </c>
      <c r="D20">
        <f t="shared" si="5"/>
        <v>7.418107665226531E-2</v>
      </c>
      <c r="E20">
        <f t="shared" si="5"/>
        <v>2.8795175220337518E-2</v>
      </c>
      <c r="F20">
        <f t="shared" si="5"/>
        <v>0.17096323403268429</v>
      </c>
      <c r="G20">
        <f t="shared" si="5"/>
        <v>7.5789131965751669E-2</v>
      </c>
      <c r="H20">
        <f t="shared" si="5"/>
        <v>5.8164885955753774E-2</v>
      </c>
      <c r="I20">
        <f t="shared" si="5"/>
        <v>0.14312079518797052</v>
      </c>
      <c r="J20">
        <f t="shared" si="5"/>
        <v>5.6015849823521272E-2</v>
      </c>
      <c r="K20">
        <f t="shared" si="5"/>
        <v>0.18766683384733024</v>
      </c>
    </row>
    <row r="22" spans="1:11" x14ac:dyDescent="0.4">
      <c r="A22" s="6" t="s">
        <v>28</v>
      </c>
      <c r="C22" s="5">
        <f>AVERAGE(C15:J15)</f>
        <v>-18.786468875455245</v>
      </c>
      <c r="D22" s="5">
        <f>AVERAGE(D17:K17)</f>
        <v>-18.993525091919448</v>
      </c>
      <c r="E22" s="5">
        <f>AVERAGE(D19:L19)</f>
        <v>-18.928054634842422</v>
      </c>
    </row>
    <row r="23" spans="1:11" x14ac:dyDescent="0.4">
      <c r="A23" s="6" t="s">
        <v>29</v>
      </c>
      <c r="C23">
        <f>STDEV(C15:J15)</f>
        <v>0.26480908401326864</v>
      </c>
      <c r="D23">
        <f>STDEV(D17:K17)</f>
        <v>0.47180333356899917</v>
      </c>
      <c r="E23">
        <f>STDEV(E19:L19)</f>
        <v>0.62680283919686886</v>
      </c>
    </row>
    <row r="25" spans="1:11" x14ac:dyDescent="0.4">
      <c r="A25" s="2" t="s">
        <v>31</v>
      </c>
      <c r="B25" s="3">
        <v>1.189170628945581</v>
      </c>
      <c r="C25" s="3">
        <v>0.79261414909385153</v>
      </c>
      <c r="D25" s="3">
        <v>1.1905274418406919</v>
      </c>
      <c r="E25" s="3">
        <v>0.62965071371089942</v>
      </c>
      <c r="F25" s="3">
        <v>1.0455515079776669</v>
      </c>
      <c r="G25" s="3">
        <v>1.0099416412640549</v>
      </c>
      <c r="H25" s="3">
        <v>0.69372306584563503</v>
      </c>
      <c r="I25" s="3">
        <v>1.4506172568995039</v>
      </c>
      <c r="J25" s="3">
        <v>0.70931719807274751</v>
      </c>
    </row>
    <row r="26" spans="1:11" x14ac:dyDescent="0.4">
      <c r="A26" s="2" t="s">
        <v>32</v>
      </c>
      <c r="B26" s="3">
        <v>1.3284725277725029E-2</v>
      </c>
      <c r="C26" s="3">
        <v>1.6419100375609449E-2</v>
      </c>
      <c r="D26" s="3">
        <v>1.8208026521791949E-2</v>
      </c>
      <c r="E26" s="3">
        <v>5.1677605151158088E-2</v>
      </c>
      <c r="F26" s="3">
        <v>8.550204286872827E-2</v>
      </c>
      <c r="G26" s="3">
        <v>8.158745882972876E-2</v>
      </c>
      <c r="H26" s="3">
        <v>5.4049511702307998E-2</v>
      </c>
      <c r="I26" s="3">
        <v>3.6121715375173717E-2</v>
      </c>
      <c r="J26" s="3">
        <v>9.5820409679425053E-2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SNooPy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Önder</cp:lastModifiedBy>
  <dcterms:created xsi:type="dcterms:W3CDTF">2026-04-04T13:39:32Z</dcterms:created>
  <dcterms:modified xsi:type="dcterms:W3CDTF">2026-04-10T12:46:42Z</dcterms:modified>
</cp:coreProperties>
</file>