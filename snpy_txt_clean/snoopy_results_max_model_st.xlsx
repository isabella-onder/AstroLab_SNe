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lla\Desktop\Durham\YEAR 3\Advanced Labs\Programming\snpy_txt_clean\"/>
    </mc:Choice>
  </mc:AlternateContent>
  <xr:revisionPtr revIDLastSave="0" documentId="13_ncr:1_{95CD9105-329C-40A9-ABD2-41CE350D494C}" xr6:coauthVersionLast="47" xr6:coauthVersionMax="47" xr10:uidLastSave="{00000000-0000-0000-0000-000000000000}"/>
  <bookViews>
    <workbookView xWindow="10106" yWindow="0" windowWidth="9317" windowHeight="12051" xr2:uid="{00000000-000D-0000-FFFF-FFFF00000000}"/>
  </bookViews>
  <sheets>
    <sheet name="SNooPy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E23" i="1"/>
  <c r="E22" i="1"/>
  <c r="D22" i="1"/>
  <c r="C22" i="1"/>
  <c r="D23" i="1"/>
  <c r="J20" i="1"/>
  <c r="J19" i="1"/>
  <c r="J18" i="1"/>
  <c r="J17" i="1"/>
  <c r="J16" i="1"/>
  <c r="J15" i="1"/>
  <c r="I15" i="1"/>
  <c r="B20" i="1"/>
  <c r="C20" i="1"/>
  <c r="D20" i="1"/>
  <c r="F20" i="1"/>
  <c r="G20" i="1"/>
  <c r="H20" i="1"/>
  <c r="I20" i="1"/>
  <c r="B19" i="1"/>
  <c r="C19" i="1"/>
  <c r="D19" i="1"/>
  <c r="B18" i="1"/>
  <c r="C18" i="1"/>
  <c r="D18" i="1"/>
  <c r="B17" i="1"/>
  <c r="C17" i="1"/>
  <c r="D17" i="1"/>
  <c r="B16" i="1"/>
  <c r="C16" i="1"/>
  <c r="D16" i="1"/>
  <c r="B15" i="1"/>
  <c r="C15" i="1"/>
  <c r="D15" i="1"/>
  <c r="F18" i="1"/>
  <c r="G18" i="1"/>
  <c r="H18" i="1"/>
  <c r="I18" i="1"/>
  <c r="F16" i="1"/>
  <c r="G16" i="1"/>
  <c r="H16" i="1"/>
  <c r="I16" i="1"/>
  <c r="E20" i="1"/>
  <c r="E18" i="1"/>
  <c r="E16" i="1"/>
  <c r="F19" i="1"/>
  <c r="G19" i="1"/>
  <c r="H19" i="1"/>
  <c r="I19" i="1"/>
  <c r="E19" i="1"/>
  <c r="F17" i="1"/>
  <c r="G17" i="1"/>
  <c r="H17" i="1"/>
  <c r="I17" i="1"/>
  <c r="E17" i="1"/>
  <c r="F15" i="1"/>
  <c r="G15" i="1"/>
  <c r="H15" i="1"/>
  <c r="E15" i="1"/>
</calcChain>
</file>

<file path=xl/sharedStrings.xml><?xml version="1.0" encoding="utf-8"?>
<sst xmlns="http://schemas.openxmlformats.org/spreadsheetml/2006/main" count="31" uniqueCount="31">
  <si>
    <t>Parameter</t>
  </si>
  <si>
    <t>SN2019np</t>
  </si>
  <si>
    <t>SN2020ue</t>
  </si>
  <si>
    <t>SN2025ahsa</t>
  </si>
  <si>
    <t>SN2026acd</t>
  </si>
  <si>
    <t>SN2026atb</t>
  </si>
  <si>
    <t>SN2026gm</t>
  </si>
  <si>
    <t>SN2026kc_subbed</t>
  </si>
  <si>
    <t>SN2025acsn_subbed</t>
  </si>
  <si>
    <t>z_CMB</t>
  </si>
  <si>
    <t>st (mag)</t>
  </si>
  <si>
    <t>st error (mag)</t>
  </si>
  <si>
    <t>T_max (MJD)</t>
  </si>
  <si>
    <t>T_max error (days)</t>
  </si>
  <si>
    <t>i_max (mag)</t>
  </si>
  <si>
    <t>i_max_error (mag)</t>
  </si>
  <si>
    <t>r_max (mag)</t>
  </si>
  <si>
    <t>r_max_error (mag)</t>
  </si>
  <si>
    <t>v_max (mag)</t>
  </si>
  <si>
    <t>v_max_error (mag)</t>
  </si>
  <si>
    <t>DM</t>
  </si>
  <si>
    <t>M_abs_i (mag)</t>
  </si>
  <si>
    <t>M_abs_i_error (mag)</t>
  </si>
  <si>
    <t>M_abs_r (mag)</t>
  </si>
  <si>
    <t>M_abs_r_error (mag)</t>
  </si>
  <si>
    <t>M_abs_v (mag</t>
  </si>
  <si>
    <t>M_abs_v_error (mag</t>
  </si>
  <si>
    <t>DM_error</t>
  </si>
  <si>
    <t>means_Ms</t>
  </si>
  <si>
    <t>std_Ms</t>
  </si>
  <si>
    <t>Δm₁₅ (mag)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</si>
</sst>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E1F2"/>
      </patternFill>
    </fill>
    <fill>
      <patternFill patternType="solid">
        <fgColor rgb="FFFFD7D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23665791776033E-2"/>
          <c:y val="0.18560185185185185"/>
          <c:w val="0.84893044619422575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'SNooPy Results'!$A$25</c:f>
              <c:strCache>
                <c:ptCount val="1"/>
                <c:pt idx="0">
                  <c:v>Δm₁₅ (mag)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'SNooPy Results'!$B$15:$K$15</c:f>
              <c:numCache>
                <c:formatCode>0.0000</c:formatCode>
                <c:ptCount val="10"/>
                <c:pt idx="0">
                  <c:v>-18.824528310828136</c:v>
                </c:pt>
                <c:pt idx="1">
                  <c:v>-18.392912974960261</c:v>
                </c:pt>
                <c:pt idx="2">
                  <c:v>-18.542273090092682</c:v>
                </c:pt>
                <c:pt idx="3">
                  <c:v>-18.319585092444662</c:v>
                </c:pt>
                <c:pt idx="4">
                  <c:v>-18.475793320179676</c:v>
                </c:pt>
                <c:pt idx="5">
                  <c:v>-18.078406518289455</c:v>
                </c:pt>
                <c:pt idx="6">
                  <c:v>-18.452359089301137</c:v>
                </c:pt>
                <c:pt idx="7">
                  <c:v>-18.571997836830196</c:v>
                </c:pt>
                <c:pt idx="8">
                  <c:v>-18.251793507015357</c:v>
                </c:pt>
              </c:numCache>
            </c:numRef>
          </c:xVal>
          <c:yVal>
            <c:numRef>
              <c:f>'SNooPy Results'!$B$25:$K$25</c:f>
              <c:numCache>
                <c:formatCode>0.0000</c:formatCode>
                <c:ptCount val="10"/>
                <c:pt idx="0">
                  <c:v>0.8815198946724947</c:v>
                </c:pt>
                <c:pt idx="1">
                  <c:v>1.4286013629129379</c:v>
                </c:pt>
                <c:pt idx="2">
                  <c:v>0.84467634996614904</c:v>
                </c:pt>
                <c:pt idx="3">
                  <c:v>1.013578019877027</c:v>
                </c:pt>
                <c:pt idx="4">
                  <c:v>0.92766529960533639</c:v>
                </c:pt>
                <c:pt idx="5">
                  <c:v>1.036576316487394</c:v>
                </c:pt>
                <c:pt idx="6">
                  <c:v>0.99961412335997135</c:v>
                </c:pt>
                <c:pt idx="7">
                  <c:v>0.79579455025903767</c:v>
                </c:pt>
                <c:pt idx="8">
                  <c:v>1.629500234878912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FF-4070-9910-033603EE0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830143"/>
        <c:axId val="541830623"/>
      </c:scatterChart>
      <c:valAx>
        <c:axId val="54183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30623"/>
        <c:crosses val="autoZero"/>
        <c:crossBetween val="midCat"/>
      </c:valAx>
      <c:valAx>
        <c:axId val="54183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3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200566</xdr:colOff>
      <xdr:row>4</xdr:row>
      <xdr:rowOff>22666</xdr:rowOff>
    </xdr:from>
    <xdr:to>
      <xdr:col>17</xdr:col>
      <xdr:colOff>179690</xdr:colOff>
      <xdr:row>18</xdr:row>
      <xdr:rowOff>156277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762C2-7E09-11B3-3DC3-75132FCCF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72" zoomScaleNormal="73" workbookViewId="0">
      <pane xSplit="1" ySplit="1" topLeftCell="B3" activePane="bottomRight" state="frozen"/>
      <selection pane="topRight"/>
      <selection pane="bottomLeft"/>
      <selection pane="bottomRight" activeCell="C24" sqref="C24"/>
    </sheetView>
  </sheetViews>
  <sheetFormatPr defaultRowHeight="14.6" x14ac:dyDescent="0.4"/>
  <cols>
    <col min="1" max="1" width="22" customWidth="1"/>
    <col min="2" max="9" width="16" customWidth="1"/>
    <col min="10" max="10" width="10.3046875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4">
      <c r="A2" s="2" t="s">
        <v>9</v>
      </c>
      <c r="B2" s="3">
        <v>5.4957131629876383E-3</v>
      </c>
      <c r="C2" s="3">
        <v>4.1243534288284093E-3</v>
      </c>
      <c r="D2" s="3">
        <v>1.577412103393137E-2</v>
      </c>
      <c r="E2" s="3">
        <v>8.6996271246128545E-3</v>
      </c>
      <c r="F2" s="3">
        <v>1.86074229318118E-2</v>
      </c>
      <c r="G2" s="3">
        <v>1.820681159016178E-2</v>
      </c>
      <c r="H2" s="3">
        <v>2.3985414903784481E-2</v>
      </c>
      <c r="I2" s="3">
        <v>1.478085509744197E-2</v>
      </c>
      <c r="J2" s="3">
        <v>2.718622418604456E-2</v>
      </c>
    </row>
    <row r="3" spans="1:10" x14ac:dyDescent="0.4">
      <c r="A3" s="2" t="s">
        <v>10</v>
      </c>
      <c r="B3" s="3">
        <v>0.94407334479983551</v>
      </c>
      <c r="C3" s="3">
        <v>0.77153069134603036</v>
      </c>
      <c r="D3" s="3">
        <v>1.251415809684242</v>
      </c>
      <c r="E3" s="3">
        <v>0.81438787761879528</v>
      </c>
      <c r="F3" s="3">
        <v>1.045702391742783</v>
      </c>
      <c r="G3" s="3">
        <v>1.363733289317445</v>
      </c>
      <c r="H3" s="3">
        <v>1.1079177520245529</v>
      </c>
      <c r="I3" s="3">
        <v>1.637821710236695</v>
      </c>
      <c r="J3" s="3">
        <v>0.3456664903006999</v>
      </c>
    </row>
    <row r="4" spans="1:10" x14ac:dyDescent="0.4">
      <c r="A4" s="2" t="s">
        <v>11</v>
      </c>
      <c r="B4" s="3">
        <v>7.4636092977291924E-3</v>
      </c>
      <c r="C4" s="3">
        <v>2.0426023296454841E-2</v>
      </c>
      <c r="D4" s="3">
        <v>3.2165897478614099E-2</v>
      </c>
      <c r="E4" s="3">
        <v>5.014474888002577E-2</v>
      </c>
      <c r="F4" s="3">
        <v>9.1654807355481635E-2</v>
      </c>
      <c r="G4" s="3">
        <v>0.1127738963443693</v>
      </c>
      <c r="H4" s="3">
        <v>0.16424722413903431</v>
      </c>
      <c r="I4" s="3">
        <v>5.4846599670828333E-2</v>
      </c>
      <c r="J4" s="3">
        <v>8.9300294442571121E-2</v>
      </c>
    </row>
    <row r="5" spans="1:10" x14ac:dyDescent="0.4">
      <c r="A5" s="2" t="s">
        <v>12</v>
      </c>
      <c r="B5" s="3">
        <v>58510.642605479981</v>
      </c>
      <c r="C5" s="3">
        <v>58872.696482668493</v>
      </c>
      <c r="D5" s="3">
        <v>61032.093781887721</v>
      </c>
      <c r="E5" s="3">
        <v>61068.854153451328</v>
      </c>
      <c r="F5" s="3">
        <v>61076.603417882987</v>
      </c>
      <c r="G5" s="3">
        <v>61054.592883197904</v>
      </c>
      <c r="H5" s="3">
        <v>61066.460047195353</v>
      </c>
      <c r="I5" s="3">
        <v>60991.712227459968</v>
      </c>
      <c r="J5" s="3">
        <v>61064.177223399238</v>
      </c>
    </row>
    <row r="6" spans="1:10" x14ac:dyDescent="0.4">
      <c r="A6" s="2" t="s">
        <v>13</v>
      </c>
      <c r="B6" s="3">
        <v>0.1120081259723978</v>
      </c>
      <c r="C6" s="3">
        <v>0.2111491721475878</v>
      </c>
      <c r="D6" s="3">
        <v>1.4178174907821921</v>
      </c>
      <c r="E6" s="3">
        <v>1.7024538284901709</v>
      </c>
      <c r="F6" s="3">
        <v>1.4479592879747969</v>
      </c>
      <c r="G6" s="3">
        <v>4.5048442508428241</v>
      </c>
      <c r="H6" s="3">
        <v>1.2666213996071909</v>
      </c>
      <c r="I6" s="3">
        <v>2.0792173495273381</v>
      </c>
      <c r="J6" s="3">
        <v>1.212196423126064</v>
      </c>
    </row>
    <row r="7" spans="1:10" x14ac:dyDescent="0.4">
      <c r="A7" s="2" t="s">
        <v>14</v>
      </c>
      <c r="B7" s="3">
        <v>13.59110860508738</v>
      </c>
      <c r="C7" s="3">
        <v>12.50731242677745</v>
      </c>
      <c r="D7" s="3">
        <v>15.25754997081243</v>
      </c>
      <c r="E7" s="3">
        <v>13.78193342825543</v>
      </c>
      <c r="F7" s="3">
        <v>15.94930813669805</v>
      </c>
      <c r="G7" s="3">
        <v>15.94482269598379</v>
      </c>
      <c r="H7" s="3">
        <v>15.89672867484369</v>
      </c>
      <c r="I7" s="3">
        <v>15.560307175806511</v>
      </c>
      <c r="J7" s="3">
        <v>16.902023318741541</v>
      </c>
    </row>
    <row r="8" spans="1:10" x14ac:dyDescent="0.4">
      <c r="A8" s="2" t="s">
        <v>15</v>
      </c>
      <c r="B8" s="3">
        <v>2.680203968318708E-2</v>
      </c>
      <c r="C8" s="3">
        <v>0.1041053496719735</v>
      </c>
      <c r="D8" s="3">
        <v>9.0344372683931445E-2</v>
      </c>
      <c r="E8" s="3">
        <v>0.11886153838498741</v>
      </c>
      <c r="F8" s="3">
        <v>9.5493272783702218E-2</v>
      </c>
      <c r="G8" s="3">
        <v>8.9109436803924011E-2</v>
      </c>
      <c r="H8" s="3">
        <v>0.16924148696630831</v>
      </c>
      <c r="I8" s="3">
        <v>5.104657349192674E-2</v>
      </c>
      <c r="J8" s="3">
        <v>0.27628423474094538</v>
      </c>
    </row>
    <row r="9" spans="1:10" x14ac:dyDescent="0.4">
      <c r="A9" s="2" t="s">
        <v>16</v>
      </c>
      <c r="B9" s="3">
        <v>13.09015422692825</v>
      </c>
      <c r="C9" s="3">
        <v>11.99078975364541</v>
      </c>
      <c r="D9" s="3">
        <v>14.645039384890611</v>
      </c>
      <c r="E9" s="3">
        <v>13.531646531799369</v>
      </c>
      <c r="F9" s="3">
        <v>15.30033167580606</v>
      </c>
      <c r="G9" s="3">
        <v>15.49987879947669</v>
      </c>
      <c r="H9" s="3">
        <v>15.627196729121341</v>
      </c>
      <c r="I9" s="3">
        <v>15.331402849787141</v>
      </c>
      <c r="J9" s="3">
        <v>15.89922034907657</v>
      </c>
    </row>
    <row r="10" spans="1:10" x14ac:dyDescent="0.4">
      <c r="A10" s="2" t="s">
        <v>17</v>
      </c>
      <c r="B10" s="3">
        <v>1.111159443494357E-2</v>
      </c>
      <c r="C10" s="3">
        <v>1.948418121451603E-2</v>
      </c>
      <c r="D10" s="3">
        <v>5.0647668658007218E-2</v>
      </c>
      <c r="E10" s="3">
        <v>7.5139744616584389E-2</v>
      </c>
      <c r="F10" s="3">
        <v>6.8897358765238503E-2</v>
      </c>
      <c r="G10" s="3">
        <v>6.2623239572259598E-2</v>
      </c>
      <c r="H10" s="3">
        <v>0.1343952139786245</v>
      </c>
      <c r="I10" s="3">
        <v>4.6438795661254507E-2</v>
      </c>
      <c r="J10" s="3">
        <v>0.120976653196124</v>
      </c>
    </row>
    <row r="11" spans="1:10" x14ac:dyDescent="0.4">
      <c r="A11" s="2" t="s">
        <v>18</v>
      </c>
      <c r="B11" s="3">
        <v>13.112149847823581</v>
      </c>
      <c r="C11" s="3">
        <v>11.978682191128801</v>
      </c>
      <c r="D11" s="3">
        <v>14.474127905928439</v>
      </c>
      <c r="E11" s="3">
        <v>13.60230424209349</v>
      </c>
      <c r="F11" s="3">
        <v>15.19920159539906</v>
      </c>
      <c r="G11" s="3">
        <v>15.3581021740304</v>
      </c>
      <c r="H11" s="3">
        <v>15.8234019142634</v>
      </c>
      <c r="I11" s="3">
        <v>15.15633523560563</v>
      </c>
      <c r="J11" s="3">
        <v>16.229058500837159</v>
      </c>
    </row>
    <row r="12" spans="1:10" x14ac:dyDescent="0.4">
      <c r="A12" s="2" t="s">
        <v>19</v>
      </c>
      <c r="B12" s="3">
        <v>1.022608036867953E-2</v>
      </c>
      <c r="C12" s="3">
        <v>2.7520783793260482E-2</v>
      </c>
      <c r="D12" s="3">
        <v>6.0859417879066548E-2</v>
      </c>
      <c r="E12" s="3">
        <v>8.3798354009671561E-2</v>
      </c>
      <c r="F12" s="3">
        <v>0.10420773727991681</v>
      </c>
      <c r="G12" s="3">
        <v>0.12839035932990059</v>
      </c>
      <c r="H12" s="3">
        <v>7.3793845883601453E-2</v>
      </c>
      <c r="I12" s="3">
        <v>6.3310782998032958E-2</v>
      </c>
      <c r="J12" s="3">
        <v>0.13462250990722191</v>
      </c>
    </row>
    <row r="13" spans="1:10" x14ac:dyDescent="0.4">
      <c r="A13" s="4" t="s">
        <v>20</v>
      </c>
      <c r="B13" s="5">
        <v>32.415636915915513</v>
      </c>
      <c r="C13" s="5">
        <v>30.90022540173771</v>
      </c>
      <c r="D13" s="5">
        <v>33.799823060905112</v>
      </c>
      <c r="E13" s="5">
        <v>32.10151852070009</v>
      </c>
      <c r="F13" s="5">
        <v>34.425101456877726</v>
      </c>
      <c r="G13" s="5">
        <v>34.023229214273243</v>
      </c>
      <c r="H13" s="5">
        <v>34.349087764144826</v>
      </c>
      <c r="I13" s="5">
        <v>34.132305012636706</v>
      </c>
      <c r="J13" s="5">
        <v>35.153816825756898</v>
      </c>
    </row>
    <row r="14" spans="1:10" x14ac:dyDescent="0.4">
      <c r="A14" s="4" t="s">
        <v>27</v>
      </c>
      <c r="B14" s="5">
        <v>1.0118415963258401E-2</v>
      </c>
      <c r="C14" s="5">
        <v>3.3287340164946312E-2</v>
      </c>
      <c r="D14" s="5">
        <v>2.6488139205854661E-2</v>
      </c>
      <c r="E14" s="5">
        <v>0.1140388162904977</v>
      </c>
      <c r="F14" s="5">
        <v>8.6010331784144176E-2</v>
      </c>
      <c r="G14" s="5">
        <v>8.0236541707168471E-2</v>
      </c>
      <c r="H14" s="5">
        <v>0.1454689464834521</v>
      </c>
      <c r="I14" s="5">
        <v>2.0341439972800249E-2</v>
      </c>
      <c r="J14" s="5">
        <v>0.18631419111575501</v>
      </c>
    </row>
    <row r="15" spans="1:10" x14ac:dyDescent="0.4">
      <c r="A15" s="4" t="s">
        <v>21</v>
      </c>
      <c r="B15" s="6">
        <f t="shared" ref="B15:D15" si="0">B7-B13</f>
        <v>-18.824528310828136</v>
      </c>
      <c r="C15" s="6">
        <f t="shared" si="0"/>
        <v>-18.392912974960261</v>
      </c>
      <c r="D15" s="6">
        <f t="shared" si="0"/>
        <v>-18.542273090092682</v>
      </c>
      <c r="E15" s="6">
        <f>E7-E13</f>
        <v>-18.319585092444662</v>
      </c>
      <c r="F15" s="6">
        <f t="shared" ref="F15:J15" si="1">F7-F13</f>
        <v>-18.475793320179676</v>
      </c>
      <c r="G15" s="6">
        <f t="shared" si="1"/>
        <v>-18.078406518289455</v>
      </c>
      <c r="H15" s="6">
        <f t="shared" si="1"/>
        <v>-18.452359089301137</v>
      </c>
      <c r="I15" s="6">
        <f t="shared" si="1"/>
        <v>-18.571997836830196</v>
      </c>
      <c r="J15" s="6">
        <f t="shared" si="1"/>
        <v>-18.251793507015357</v>
      </c>
    </row>
    <row r="16" spans="1:10" x14ac:dyDescent="0.4">
      <c r="A16" s="4" t="s">
        <v>22</v>
      </c>
      <c r="B16">
        <f t="shared" ref="B16:D16" si="2">SQRT(B8^2+$B$14^2)</f>
        <v>2.8648414838951516E-2</v>
      </c>
      <c r="C16">
        <f t="shared" si="2"/>
        <v>0.10459591852423973</v>
      </c>
      <c r="D16">
        <f t="shared" si="2"/>
        <v>9.0909229549362161E-2</v>
      </c>
      <c r="E16">
        <f>SQRT(E8^2+$B$14^2)</f>
        <v>0.11929143996469889</v>
      </c>
      <c r="F16">
        <f t="shared" ref="F16:J16" si="3">SQRT(F8^2+$B$14^2)</f>
        <v>9.6027847463889787E-2</v>
      </c>
      <c r="G16">
        <f t="shared" si="3"/>
        <v>8.9682072172302368E-2</v>
      </c>
      <c r="H16">
        <f t="shared" si="3"/>
        <v>0.16954369127800842</v>
      </c>
      <c r="I16">
        <f t="shared" si="3"/>
        <v>5.2039744492764377E-2</v>
      </c>
      <c r="J16">
        <f t="shared" si="3"/>
        <v>0.27646945709787785</v>
      </c>
    </row>
    <row r="17" spans="1:11" x14ac:dyDescent="0.4">
      <c r="A17" s="4" t="s">
        <v>23</v>
      </c>
      <c r="B17" s="6">
        <f t="shared" ref="B17:D17" si="4">B9-B13</f>
        <v>-19.325482688987265</v>
      </c>
      <c r="C17" s="6">
        <f t="shared" si="4"/>
        <v>-18.909435648092298</v>
      </c>
      <c r="D17" s="6">
        <f t="shared" si="4"/>
        <v>-19.154783676014503</v>
      </c>
      <c r="E17" s="6">
        <f>E9-E13</f>
        <v>-18.569871988900722</v>
      </c>
      <c r="F17" s="6">
        <f t="shared" ref="F17:J17" si="5">F9-F13</f>
        <v>-19.124769781071667</v>
      </c>
      <c r="G17" s="6">
        <f t="shared" si="5"/>
        <v>-18.523350414796553</v>
      </c>
      <c r="H17" s="6">
        <f t="shared" si="5"/>
        <v>-18.721891035023486</v>
      </c>
      <c r="I17" s="6">
        <f t="shared" si="5"/>
        <v>-18.800902162849567</v>
      </c>
      <c r="J17" s="6">
        <f t="shared" si="5"/>
        <v>-19.254596476680327</v>
      </c>
    </row>
    <row r="18" spans="1:11" x14ac:dyDescent="0.4">
      <c r="A18" s="4" t="s">
        <v>24</v>
      </c>
      <c r="B18">
        <f t="shared" ref="B18:D18" si="6">SQRT(B10^2+$B$14^2)</f>
        <v>1.5028302382245019E-2</v>
      </c>
      <c r="C18">
        <f t="shared" si="6"/>
        <v>2.1954855025839316E-2</v>
      </c>
      <c r="D18">
        <f t="shared" si="6"/>
        <v>5.1648510937846108E-2</v>
      </c>
      <c r="E18">
        <f>SQRT(E10^2+$B$14^2)</f>
        <v>7.5817963324340529E-2</v>
      </c>
      <c r="F18">
        <f t="shared" ref="F18:J18" si="7">SQRT(F10^2+$B$14^2)</f>
        <v>6.9636401302993173E-2</v>
      </c>
      <c r="G18">
        <f t="shared" si="7"/>
        <v>6.3435419728493495E-2</v>
      </c>
      <c r="H18">
        <f t="shared" si="7"/>
        <v>0.13477557598454473</v>
      </c>
      <c r="I18">
        <f t="shared" si="7"/>
        <v>4.752835031929125E-2</v>
      </c>
      <c r="J18">
        <f t="shared" si="7"/>
        <v>0.12139906490636895</v>
      </c>
    </row>
    <row r="19" spans="1:11" x14ac:dyDescent="0.4">
      <c r="A19" s="4" t="s">
        <v>25</v>
      </c>
      <c r="B19" s="6">
        <f t="shared" ref="B19:D19" si="8">B11-B13</f>
        <v>-19.303487068091933</v>
      </c>
      <c r="C19" s="6">
        <f t="shared" si="8"/>
        <v>-18.92154321060891</v>
      </c>
      <c r="D19" s="6">
        <f t="shared" si="8"/>
        <v>-19.325695154976671</v>
      </c>
      <c r="E19" s="6">
        <f>E11-E13</f>
        <v>-18.499214278606601</v>
      </c>
      <c r="F19" s="6">
        <f t="shared" ref="F19:J19" si="9">F11-F13</f>
        <v>-19.225899861478666</v>
      </c>
      <c r="G19" s="6">
        <f t="shared" si="9"/>
        <v>-18.665127040242844</v>
      </c>
      <c r="H19" s="6">
        <f t="shared" si="9"/>
        <v>-18.525685849881427</v>
      </c>
      <c r="I19" s="6">
        <f t="shared" si="9"/>
        <v>-18.975969777031075</v>
      </c>
      <c r="J19" s="6">
        <f t="shared" si="9"/>
        <v>-18.92475832491974</v>
      </c>
    </row>
    <row r="20" spans="1:11" x14ac:dyDescent="0.4">
      <c r="A20" s="4" t="s">
        <v>26</v>
      </c>
      <c r="B20">
        <f t="shared" ref="B20:D20" si="10">SQRT(B12^2+$B$14^2)</f>
        <v>1.438593275780946E-2</v>
      </c>
      <c r="C20">
        <f t="shared" si="10"/>
        <v>2.9321935171487422E-2</v>
      </c>
      <c r="D20">
        <f t="shared" si="10"/>
        <v>6.1694822199147049E-2</v>
      </c>
      <c r="E20">
        <f>SQRT(E12^2+$B$14^2)</f>
        <v>8.4407028595584147E-2</v>
      </c>
      <c r="F20">
        <f t="shared" ref="F20:J20" si="11">SQRT(F12^2+$B$14^2)</f>
        <v>0.10469782638911701</v>
      </c>
      <c r="G20">
        <f t="shared" si="11"/>
        <v>0.12878845720974574</v>
      </c>
      <c r="H20">
        <f t="shared" si="11"/>
        <v>7.4484320711799779E-2</v>
      </c>
      <c r="I20">
        <f t="shared" si="11"/>
        <v>6.4114254151705935E-2</v>
      </c>
      <c r="J20">
        <f t="shared" si="11"/>
        <v>0.13500223151979965</v>
      </c>
    </row>
    <row r="22" spans="1:11" x14ac:dyDescent="0.4">
      <c r="A22" s="7" t="s">
        <v>28</v>
      </c>
      <c r="C22" s="6">
        <f>AVERAGE(B15:N15)</f>
        <v>-18.434405526660171</v>
      </c>
      <c r="D22" s="6">
        <f>AVERAGE(B17:O17)</f>
        <v>-18.931675985824043</v>
      </c>
      <c r="E22" s="6">
        <f>AVERAGE(B19:P19)</f>
        <v>-18.929708951759764</v>
      </c>
    </row>
    <row r="23" spans="1:11" x14ac:dyDescent="0.4">
      <c r="A23" s="7" t="s">
        <v>29</v>
      </c>
      <c r="C23">
        <f>STDEV(B15:N15)</f>
        <v>0.21206895378902424</v>
      </c>
      <c r="D23">
        <f>STDEV(B17:O17)</f>
        <v>0.29699782683994341</v>
      </c>
      <c r="E23">
        <f>STDEV(B19:P19)</f>
        <v>0.31722219711566146</v>
      </c>
    </row>
    <row r="25" spans="1:11" x14ac:dyDescent="0.4">
      <c r="A25" s="2" t="s">
        <v>30</v>
      </c>
      <c r="B25" s="5">
        <v>0.8815198946724947</v>
      </c>
      <c r="C25" s="5">
        <v>1.4286013629129379</v>
      </c>
      <c r="D25" s="5">
        <v>0.84467634996614904</v>
      </c>
      <c r="E25" s="5">
        <v>1.013578019877027</v>
      </c>
      <c r="F25" s="5">
        <v>0.92766529960533639</v>
      </c>
      <c r="G25" s="5">
        <v>1.036576316487394</v>
      </c>
      <c r="H25" s="5">
        <v>0.99961412335997135</v>
      </c>
      <c r="I25" s="5">
        <v>0.79579455025903767</v>
      </c>
      <c r="J25" s="5">
        <v>1.629500234878912</v>
      </c>
      <c r="K25" s="5"/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SNooPy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Isabella Önder</cp:lastModifiedBy>
  <dcterms:created xsi:type="dcterms:W3CDTF">2026-04-04T13:58:43Z</dcterms:created>
  <dcterms:modified xsi:type="dcterms:W3CDTF">2026-04-10T12:46:16Z</dcterms:modified>
</cp:coreProperties>
</file>